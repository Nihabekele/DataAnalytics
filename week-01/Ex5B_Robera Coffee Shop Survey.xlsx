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week-01/"/>
    </mc:Choice>
  </mc:AlternateContent>
  <xr:revisionPtr revIDLastSave="1" documentId="14_{EB2F1637-35DB-4B28-8900-2541F7C7D162}" xr6:coauthVersionLast="47" xr6:coauthVersionMax="47" xr10:uidLastSave="{42411D9A-8989-42BE-9242-441D14872A4E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J13" i="1"/>
  <c r="C15" i="1"/>
  <c r="D12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<sst xmlns="http://schemas.openxmlformats.org/spreadsheetml/2006/main" count="75" uniqueCount="36">
  <si>
    <t>Id</t>
  </si>
  <si>
    <t>Start time</t>
  </si>
  <si>
    <t>Completion time</t>
  </si>
  <si>
    <t>Email</t>
  </si>
  <si>
    <t>How would you rate the taste of your coffee today?</t>
  </si>
  <si>
    <t>What is your go-to drink?</t>
  </si>
  <si>
    <t>How often do you visit us?</t>
  </si>
  <si>
    <t>What reward would make you come back more often?</t>
  </si>
  <si>
    <t>How is our Wi-Fi speed and seating comfort?</t>
  </si>
  <si>
    <t>Any suggestions for new seasonal flavors you'd like to see?</t>
  </si>
  <si>
    <t>anonymous</t>
  </si>
  <si>
    <t>Tea</t>
  </si>
  <si>
    <t>Weekly</t>
  </si>
  <si>
    <t>Free size upgrade</t>
  </si>
  <si>
    <t>sakura drinks</t>
  </si>
  <si>
    <t>Iced Coffee</t>
  </si>
  <si>
    <t>2-3 times a week</t>
  </si>
  <si>
    <t>Free drink after 6 purchases</t>
  </si>
  <si>
    <t>Caramel Granita :)</t>
  </si>
  <si>
    <t>lavender earl grey</t>
  </si>
  <si>
    <t>Daily</t>
  </si>
  <si>
    <t>15% off for students</t>
  </si>
  <si>
    <t xml:space="preserve">Cheesecake </t>
  </si>
  <si>
    <t>close store</t>
  </si>
  <si>
    <t xml:space="preserve">Pineapple tea </t>
  </si>
  <si>
    <t>I would like to see a reposado espresso.</t>
  </si>
  <si>
    <t>Hot coffee</t>
  </si>
  <si>
    <t>no</t>
  </si>
  <si>
    <t>Espresso</t>
  </si>
  <si>
    <t xml:space="preserve">Pomegranate </t>
  </si>
  <si>
    <t>the place could be cleaner. thank you</t>
  </si>
  <si>
    <t>Time to Complete</t>
  </si>
  <si>
    <t>Name Rating</t>
  </si>
  <si>
    <t>Row Labels</t>
  </si>
  <si>
    <t>Grand Total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</si>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</sst>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mm:ss: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mm:ss:"/>
    </dxf>
    <dxf>
      <numFmt numFmtId="165" formatCode="mm:ss: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[Ex5B_Robera Coffee Shop Survey.xlsx]Sheet2!PivotTable1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Drink Preferences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E7-40EC-8733-F6F2C73221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E7-40EC-8733-F6F2C73221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E7-40EC-8733-F6F2C73221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E7-40EC-8733-F6F2C732213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E7-40EC-8733-F6F2C732213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E7-40EC-8733-F6F2C732213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E7-40EC-8733-F6F2C732213E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E7-40EC-8733-F6F2C73221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Sheet2!$A$2:$A$6</c:f>
              <c:strCache>
                <c:ptCount val="4"/>
                <c:pt idx="0">
                  <c:v>Espresso</c:v>
                </c:pt>
                <c:pt idx="1">
                  <c:v>Hot coffee</c:v>
                </c:pt>
                <c:pt idx="2">
                  <c:v>Iced Coffee</c:v>
                </c:pt>
                <c:pt idx="3">
                  <c:v>Tea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7-40EC-8733-F6F2C7322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[Ex5B_Robera Coffee Shop Survey.xlsx]Sheet2!PivotTable2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Sheet2!$A$17:$A$20</c:f>
              <c:strCache>
                <c:ptCount val="3"/>
                <c:pt idx="0">
                  <c:v>2-3 times a week</c:v>
                </c:pt>
                <c:pt idx="1">
                  <c:v>Daily</c:v>
                </c:pt>
                <c:pt idx="2">
                  <c:v>Weekly</c:v>
                </c:pt>
              </c:strCache>
            </c:strRef>
          </c:cat>
          <c:val>
            <c:numRef>
              <c:f>Sheet2!$B$17:$B$20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C-43F0-A3A2-4253690F8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440448"/>
        <c:axId val="1947441888"/>
      </c:barChart>
      <c:catAx>
        <c:axId val="19474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41888"/>
        <c:crosses val="autoZero"/>
        <c:auto val="1"/>
        <c:lblAlgn val="ctr"/>
        <c:lblOffset val="100"/>
        <c:noMultiLvlLbl val="0"/>
      </c:catAx>
      <c:valAx>
        <c:axId val="19474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4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0A914-D514-B0B7-E0CF-8AD7EF73B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526C81-4501-4EA3-AA07-B94A3668C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a merawi" refreshedDate="46122.112614930556" createdVersion="8" refreshedVersion="8" minRefreshableVersion="3" recordCount="10" xr:uid="{14CB46CA-A3A4-477C-A4DD-46B31FBA76E9}">
  <cacheSource type="worksheet">
    <worksheetSource name="OfficeForms.Table"/>
  </cacheSource>
  <cacheFields count="12">
    <cacheField name="Id" numFmtId="0">
      <sharedItems containsSemiMixedTypes="0" containsString="0" containsNumber="1" containsInteger="1" minValue="1" maxValue="10"/>
    </cacheField>
    <cacheField name="Start time" numFmtId="164">
      <sharedItems containsSemiMixedTypes="0" containsNonDate="0" containsDate="1" containsString="0" minDate="2026-04-08T08:58:44" maxDate="2026-04-09T12:52:27"/>
    </cacheField>
    <cacheField name="Completion time" numFmtId="164">
      <sharedItems containsSemiMixedTypes="0" containsNonDate="0" containsDate="1" containsString="0" minDate="2026-04-08T08:59:31" maxDate="2026-04-09T12:53:01"/>
    </cacheField>
    <cacheField name="Time to Complete" numFmtId="165">
      <sharedItems containsSemiMixedTypes="0" containsNonDate="0" containsDate="1" containsString="0" minDate="1899-12-30T00:00:05" maxDate="1899-12-30T00:09:57"/>
    </cacheField>
    <cacheField name="Email" numFmtId="0">
      <sharedItems count="1">
        <s v="anonymous"/>
      </sharedItems>
    </cacheField>
    <cacheField name="Name Rating" numFmtId="0">
      <sharedItems containsNonDate="0" containsString="0" containsBlank="1"/>
    </cacheField>
    <cacheField name="How would you rate the taste of your coffee today?" numFmtId="0">
      <sharedItems containsSemiMixedTypes="0" containsString="0" containsNumber="1" containsInteger="1" minValue="1" maxValue="5"/>
    </cacheField>
    <cacheField name="What is your go-to drink?" numFmtId="0">
      <sharedItems count="4">
        <s v="Tea"/>
        <s v="Iced Coffee"/>
        <s v="Hot coffee"/>
        <s v="Espresso"/>
      </sharedItems>
    </cacheField>
    <cacheField name="How often do you visit us?" numFmtId="0">
      <sharedItems count="3">
        <s v="Weekly"/>
        <s v="2-3 times a week"/>
        <s v="Daily"/>
      </sharedItems>
    </cacheField>
    <cacheField name="What reward would make you come back more often?" numFmtId="0">
      <sharedItems/>
    </cacheField>
    <cacheField name="How is our Wi-Fi speed and seating comfort?" numFmtId="0">
      <sharedItems containsSemiMixedTypes="0" containsString="0" containsNumber="1" containsInteger="1" minValue="1" maxValue="5"/>
    </cacheField>
    <cacheField name="Any suggestions for new seasonal flavors you'd like to se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6-04-08T08:58:44"/>
    <d v="2026-04-08T08:59:31"/>
    <d v="1899-12-30T00:00:47"/>
    <x v="0"/>
    <m/>
    <n v="3"/>
    <x v="0"/>
    <x v="0"/>
    <s v="Free size upgrade"/>
    <n v="3"/>
    <s v="sakura drinks"/>
  </r>
  <r>
    <n v="2"/>
    <d v="2026-04-08T09:51:40"/>
    <d v="2026-04-08T09:52:04"/>
    <d v="1899-12-30T00:00:24"/>
    <x v="0"/>
    <m/>
    <n v="5"/>
    <x v="1"/>
    <x v="1"/>
    <s v="Free drink after 6 purchases"/>
    <n v="4"/>
    <s v="Caramel Granita :)"/>
  </r>
  <r>
    <n v="3"/>
    <d v="2026-04-08T13:32:02"/>
    <d v="2026-04-08T13:32:39"/>
    <d v="1899-12-30T00:00:37"/>
    <x v="0"/>
    <m/>
    <n v="5"/>
    <x v="0"/>
    <x v="0"/>
    <s v="Free size upgrade"/>
    <n v="5"/>
    <s v="lavender earl grey"/>
  </r>
  <r>
    <n v="4"/>
    <d v="2026-04-08T13:46:24"/>
    <d v="2026-04-08T13:47:30"/>
    <d v="1899-12-30T00:01:06"/>
    <x v="0"/>
    <m/>
    <n v="5"/>
    <x v="1"/>
    <x v="2"/>
    <s v="15% off for students"/>
    <n v="5"/>
    <s v="Cheesecake "/>
  </r>
  <r>
    <n v="5"/>
    <d v="2026-04-08T14:43:06"/>
    <d v="2026-04-08T14:43:26"/>
    <d v="1899-12-30T00:00:20"/>
    <x v="0"/>
    <m/>
    <n v="1"/>
    <x v="1"/>
    <x v="2"/>
    <s v="Free drink after 6 purchases"/>
    <n v="1"/>
    <s v="close store"/>
  </r>
  <r>
    <n v="6"/>
    <d v="2026-04-08T14:44:24"/>
    <d v="2026-04-08T14:45:46"/>
    <d v="1899-12-30T00:01:22"/>
    <x v="0"/>
    <m/>
    <n v="4"/>
    <x v="0"/>
    <x v="1"/>
    <s v="Free size upgrade"/>
    <n v="4"/>
    <s v="Pineapple tea "/>
  </r>
  <r>
    <n v="7"/>
    <d v="2026-04-09T11:32:47"/>
    <d v="2026-04-09T11:42:44"/>
    <d v="1899-12-30T00:09:57"/>
    <x v="0"/>
    <m/>
    <n v="4"/>
    <x v="1"/>
    <x v="0"/>
    <s v="15% off for students"/>
    <n v="5"/>
    <s v="I would like to see a reposado espresso."/>
  </r>
  <r>
    <n v="8"/>
    <d v="2026-04-09T11:47:13"/>
    <d v="2026-04-09T11:48:55"/>
    <d v="1899-12-30T00:01:42"/>
    <x v="0"/>
    <m/>
    <n v="3"/>
    <x v="2"/>
    <x v="0"/>
    <s v="Free drink after 6 purchases"/>
    <n v="4"/>
    <s v="no"/>
  </r>
  <r>
    <n v="9"/>
    <d v="2026-04-09T11:52:26"/>
    <d v="2026-04-09T11:52:31"/>
    <d v="1899-12-30T00:00:05"/>
    <x v="0"/>
    <m/>
    <n v="2"/>
    <x v="3"/>
    <x v="1"/>
    <s v="15% off for students"/>
    <n v="3"/>
    <s v="Pomegranate "/>
  </r>
  <r>
    <n v="10"/>
    <d v="2026-04-09T12:52:27"/>
    <d v="2026-04-09T12:53:01"/>
    <d v="1899-12-30T00:00:34"/>
    <x v="0"/>
    <m/>
    <n v="5"/>
    <x v="3"/>
    <x v="1"/>
    <s v="Free drink after 6 purchases"/>
    <n v="5"/>
    <s v="the place could be cleaner. thank yo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01D0D-F01F-4B40-853B-0F9108C64A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12">
    <pivotField showAll="0"/>
    <pivotField numFmtId="164" showAll="0"/>
    <pivotField numFmtId="164" showAll="0"/>
    <pivotField numFmtId="165" showAll="0"/>
    <pivotField dataField="1" showAll="0">
      <items count="2">
        <item x="0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ail" fld="4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4985B-BEC5-4214-8CAD-CF6749EAC0D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20" firstHeaderRow="1" firstDataRow="1" firstDataCol="1"/>
  <pivotFields count="12">
    <pivotField showAll="0"/>
    <pivotField numFmtId="164" showAll="0"/>
    <pivotField numFmtId="164" showAll="0"/>
    <pivotField numFmtId="165" showAll="0"/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ail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12" totalsRowCount="1">
  <autoFilter ref="A1:L11" xr:uid="{00000000-0009-0000-0100-000001000000}"/>
  <tableColumns count="12">
    <tableColumn id="1" xr3:uid="{00000000-0010-0000-0000-000001000000}" name="Id" dataDxfId="23" totalsRowDxfId="2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1" totalsRowDxfId="20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9" totalsRowDxfId="18">
      <extLst>
        <ext xmlns:xlmsforms="http://schemas.microsoft.com/office/spreadsheetml/2023/msForms" uri="{FCC71383-01E1-4257-9335-427F07BE8D7F}">
          <xlmsforms:question id="submitDate"/>
        </ext>
      </extLst>
    </tableColumn>
    <tableColumn id="12" xr3:uid="{389A4EA4-BDB0-47CD-AE50-2414F84177D6}" name="Time to Complete" totalsRowFunction="custom" dataDxfId="17" totalsRowDxfId="16">
      <calculatedColumnFormula>C2-B2</calculatedColumnFormula>
      <totalsRowFormula>AVERAGE(D2:D11)</totalsRowFormula>
    </tableColumn>
    <tableColumn id="4" xr3:uid="{00000000-0010-0000-0000-000004000000}" name="Email" dataDxfId="15" totalsRowDxfId="1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 Rating" dataDxfId="13" totalsRowDxfId="1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the taste of your coffee today?" dataDxfId="11" totalsRowDxfId="10">
      <extLst>
        <ext xmlns:xlmsforms="http://schemas.microsoft.com/office/spreadsheetml/2023/msForms" uri="{FCC71383-01E1-4257-9335-427F07BE8D7F}">
          <xlmsforms:question id="rbf1c3e46fc2e427d876a483f178d661f"/>
        </ext>
      </extLst>
    </tableColumn>
    <tableColumn id="7" xr3:uid="{00000000-0010-0000-0000-000007000000}" name="What is your go-to drink?" dataDxfId="9" totalsRowDxfId="8">
      <extLst>
        <ext xmlns:xlmsforms="http://schemas.microsoft.com/office/spreadsheetml/2023/msForms" uri="{FCC71383-01E1-4257-9335-427F07BE8D7F}">
          <xlmsforms:question id="rf0847a93cc444bed930bfd60637cdae7"/>
        </ext>
      </extLst>
    </tableColumn>
    <tableColumn id="8" xr3:uid="{00000000-0010-0000-0000-000008000000}" name="How often do you visit us?" dataDxfId="7" totalsRowDxfId="6">
      <extLst>
        <ext xmlns:xlmsforms="http://schemas.microsoft.com/office/spreadsheetml/2023/msForms" uri="{FCC71383-01E1-4257-9335-427F07BE8D7F}">
          <xlmsforms:question id="r930daa4a95e344889dcac03e376f28fb"/>
        </ext>
      </extLst>
    </tableColumn>
    <tableColumn id="9" xr3:uid="{00000000-0010-0000-0000-000009000000}" name="What reward would make you come back more often?" dataDxfId="5" totalsRowDxfId="4">
      <extLst>
        <ext xmlns:xlmsforms="http://schemas.microsoft.com/office/spreadsheetml/2023/msForms" uri="{FCC71383-01E1-4257-9335-427F07BE8D7F}">
          <xlmsforms:question id="r0343a9f1efbd4e9fb6f832a90c83e997"/>
        </ext>
      </extLst>
    </tableColumn>
    <tableColumn id="10" xr3:uid="{00000000-0010-0000-0000-00000A000000}" name="How is our Wi-Fi speed and seating comfort?" dataDxfId="3" totalsRowDxfId="2">
      <extLst>
        <ext xmlns:xlmsforms="http://schemas.microsoft.com/office/spreadsheetml/2023/msForms" uri="{FCC71383-01E1-4257-9335-427F07BE8D7F}">
          <xlmsforms:question id="r6dc412affb2d4693b4fda0cbed1ca220"/>
        </ext>
      </extLst>
    </tableColumn>
    <tableColumn id="11" xr3:uid="{00000000-0010-0000-0000-00000B000000}" name="Any suggestions for new seasonal flavors you'd like to see?" dataDxfId="1" totalsRowDxfId="0">
      <extLst>
        <ext xmlns:xlmsforms="http://schemas.microsoft.com/office/spreadsheetml/2023/msForms" uri="{FCC71383-01E1-4257-9335-427F07BE8D7F}">
          <xlmsforms:question id="r89deacc5860b4e3aa5832304eddf2d5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-klqTvFkTlFjySLdeESBhJUREo0VzlXUDFXMUhPMzc4STkxSkRGWktNOS4u" isFormConnected="1" maxResponseId="10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rbf1c3e46fc2e427d876a483f178d661f</xlmsforms:syncedQuestionId>
        <xlmsforms:syncedQuestionId>rf0847a93cc444bed930bfd60637cdae7</xlmsforms:syncedQuestionId>
        <xlmsforms:syncedQuestionId>r930daa4a95e344889dcac03e376f28fb</xlmsforms:syncedQuestionId>
        <xlmsforms:syncedQuestionId>r0343a9f1efbd4e9fb6f832a90c83e997</xlmsforms:syncedQuestionId>
        <xlmsforms:syncedQuestionId>r6dc412affb2d4693b4fda0cbed1ca220</xlmsforms:syncedQuestionId>
        <xlmsforms:syncedQuestionId>r89deacc5860b4e3aa5832304eddf2d5a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B26" sqref="B26"/>
    </sheetView>
  </sheetViews>
  <sheetFormatPr defaultRowHeight="14.4" x14ac:dyDescent="0.3"/>
  <cols>
    <col min="1" max="1" width="21.77734375" customWidth="1"/>
    <col min="2" max="2" width="21.77734375" style="2" customWidth="1"/>
    <col min="3" max="3" width="21.77734375" customWidth="1"/>
    <col min="4" max="4" width="21.77734375" style="3" customWidth="1"/>
    <col min="5" max="16" width="21.77734375" customWidth="1"/>
  </cols>
  <sheetData>
    <row r="1" spans="1:12" x14ac:dyDescent="0.3">
      <c r="A1" t="s">
        <v>0</v>
      </c>
      <c r="B1" s="2" t="s">
        <v>1</v>
      </c>
      <c r="C1" t="s">
        <v>2</v>
      </c>
      <c r="D1" s="3" t="s">
        <v>31</v>
      </c>
      <c r="E1" t="s">
        <v>3</v>
      </c>
      <c r="F1" t="s">
        <v>32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1</v>
      </c>
      <c r="B2" s="2">
        <v>46120.374120370368</v>
      </c>
      <c r="C2" s="2">
        <v>46120.374664351853</v>
      </c>
      <c r="D2" s="3">
        <f t="shared" ref="D2:D11" si="0">C2-B2</f>
        <v>5.4398148495238274E-4</v>
      </c>
      <c r="E2" t="s">
        <v>10</v>
      </c>
      <c r="G2">
        <v>3</v>
      </c>
      <c r="H2" t="s">
        <v>11</v>
      </c>
      <c r="I2" t="s">
        <v>12</v>
      </c>
      <c r="J2" t="s">
        <v>13</v>
      </c>
      <c r="K2">
        <v>3</v>
      </c>
      <c r="L2" t="s">
        <v>14</v>
      </c>
    </row>
    <row r="3" spans="1:12" x14ac:dyDescent="0.3">
      <c r="A3">
        <v>2</v>
      </c>
      <c r="B3" s="2">
        <v>46120.410879629628</v>
      </c>
      <c r="C3" s="2">
        <v>46120.411157407405</v>
      </c>
      <c r="D3" s="3">
        <f t="shared" si="0"/>
        <v>2.7777777722803876E-4</v>
      </c>
      <c r="E3" t="s">
        <v>10</v>
      </c>
      <c r="G3">
        <v>5</v>
      </c>
      <c r="H3" t="s">
        <v>15</v>
      </c>
      <c r="I3" t="s">
        <v>16</v>
      </c>
      <c r="J3" t="s">
        <v>17</v>
      </c>
      <c r="K3">
        <v>4</v>
      </c>
      <c r="L3" t="s">
        <v>18</v>
      </c>
    </row>
    <row r="4" spans="1:12" x14ac:dyDescent="0.3">
      <c r="A4">
        <v>3</v>
      </c>
      <c r="B4" s="2">
        <v>46120.56391203704</v>
      </c>
      <c r="C4" s="2">
        <v>46120.564340277779</v>
      </c>
      <c r="D4" s="3">
        <f t="shared" si="0"/>
        <v>4.2824073898373172E-4</v>
      </c>
      <c r="E4" t="s">
        <v>10</v>
      </c>
      <c r="G4">
        <v>5</v>
      </c>
      <c r="H4" t="s">
        <v>11</v>
      </c>
      <c r="I4" t="s">
        <v>12</v>
      </c>
      <c r="J4" t="s">
        <v>13</v>
      </c>
      <c r="K4">
        <v>5</v>
      </c>
      <c r="L4" t="s">
        <v>19</v>
      </c>
    </row>
    <row r="5" spans="1:12" x14ac:dyDescent="0.3">
      <c r="A5">
        <v>4</v>
      </c>
      <c r="B5" s="2">
        <v>46120.573888888888</v>
      </c>
      <c r="C5" s="2">
        <v>46120.574652777781</v>
      </c>
      <c r="D5" s="3">
        <f t="shared" si="0"/>
        <v>7.638888928340748E-4</v>
      </c>
      <c r="E5" t="s">
        <v>10</v>
      </c>
      <c r="G5">
        <v>5</v>
      </c>
      <c r="H5" t="s">
        <v>15</v>
      </c>
      <c r="I5" t="s">
        <v>20</v>
      </c>
      <c r="J5" t="s">
        <v>21</v>
      </c>
      <c r="K5">
        <v>5</v>
      </c>
      <c r="L5" t="s">
        <v>22</v>
      </c>
    </row>
    <row r="6" spans="1:12" x14ac:dyDescent="0.3">
      <c r="A6">
        <v>5</v>
      </c>
      <c r="B6" s="2">
        <v>46120.613263888888</v>
      </c>
      <c r="C6" s="2">
        <v>46120.613495370373</v>
      </c>
      <c r="D6" s="3">
        <f t="shared" si="0"/>
        <v>2.3148148466134444E-4</v>
      </c>
      <c r="E6" t="s">
        <v>10</v>
      </c>
      <c r="G6">
        <v>1</v>
      </c>
      <c r="H6" t="s">
        <v>15</v>
      </c>
      <c r="I6" t="s">
        <v>20</v>
      </c>
      <c r="J6" t="s">
        <v>17</v>
      </c>
      <c r="K6">
        <v>1</v>
      </c>
      <c r="L6" t="s">
        <v>23</v>
      </c>
    </row>
    <row r="7" spans="1:12" x14ac:dyDescent="0.3">
      <c r="A7">
        <v>6</v>
      </c>
      <c r="B7" s="2">
        <v>46120.614166666666</v>
      </c>
      <c r="C7" s="2">
        <v>46120.615115740744</v>
      </c>
      <c r="D7" s="3">
        <f t="shared" si="0"/>
        <v>9.490740776527673E-4</v>
      </c>
      <c r="E7" t="s">
        <v>10</v>
      </c>
      <c r="G7">
        <v>4</v>
      </c>
      <c r="H7" t="s">
        <v>11</v>
      </c>
      <c r="I7" t="s">
        <v>16</v>
      </c>
      <c r="J7" t="s">
        <v>13</v>
      </c>
      <c r="K7">
        <v>4</v>
      </c>
      <c r="L7" t="s">
        <v>24</v>
      </c>
    </row>
    <row r="8" spans="1:12" x14ac:dyDescent="0.3">
      <c r="A8">
        <v>7</v>
      </c>
      <c r="B8" s="2">
        <v>46121.481099537035</v>
      </c>
      <c r="C8" s="2">
        <v>46121.488009259258</v>
      </c>
      <c r="D8" s="3">
        <f t="shared" si="0"/>
        <v>6.9097222221898846E-3</v>
      </c>
      <c r="E8" t="s">
        <v>10</v>
      </c>
      <c r="G8">
        <v>4</v>
      </c>
      <c r="H8" t="s">
        <v>15</v>
      </c>
      <c r="I8" t="s">
        <v>12</v>
      </c>
      <c r="J8" t="s">
        <v>21</v>
      </c>
      <c r="K8">
        <v>5</v>
      </c>
      <c r="L8" t="s">
        <v>25</v>
      </c>
    </row>
    <row r="9" spans="1:12" x14ac:dyDescent="0.3">
      <c r="A9">
        <v>8</v>
      </c>
      <c r="B9" s="2">
        <v>46121.491122685184</v>
      </c>
      <c r="C9" s="2">
        <v>46121.492303240739</v>
      </c>
      <c r="D9" s="3">
        <f t="shared" si="0"/>
        <v>1.1805555550381541E-3</v>
      </c>
      <c r="E9" t="s">
        <v>10</v>
      </c>
      <c r="G9">
        <v>3</v>
      </c>
      <c r="H9" t="s">
        <v>26</v>
      </c>
      <c r="I9" t="s">
        <v>12</v>
      </c>
      <c r="J9" t="s">
        <v>17</v>
      </c>
      <c r="K9">
        <v>4</v>
      </c>
      <c r="L9" t="s">
        <v>27</v>
      </c>
    </row>
    <row r="10" spans="1:12" x14ac:dyDescent="0.3">
      <c r="A10">
        <v>9</v>
      </c>
      <c r="B10" s="2">
        <v>46121.494745370372</v>
      </c>
      <c r="C10" s="2">
        <v>46121.494803240741</v>
      </c>
      <c r="D10" s="3">
        <f t="shared" si="0"/>
        <v>5.7870369346346706E-5</v>
      </c>
      <c r="E10" t="s">
        <v>10</v>
      </c>
      <c r="G10">
        <v>2</v>
      </c>
      <c r="H10" t="s">
        <v>28</v>
      </c>
      <c r="I10" t="s">
        <v>16</v>
      </c>
      <c r="J10" t="s">
        <v>21</v>
      </c>
      <c r="K10">
        <v>3</v>
      </c>
      <c r="L10" t="s">
        <v>29</v>
      </c>
    </row>
    <row r="11" spans="1:12" x14ac:dyDescent="0.3">
      <c r="A11">
        <v>10</v>
      </c>
      <c r="B11" s="2">
        <v>46121.536423611098</v>
      </c>
      <c r="C11" s="2">
        <v>46121.5368171296</v>
      </c>
      <c r="D11" s="3">
        <f t="shared" si="0"/>
        <v>3.9351850136881694E-4</v>
      </c>
      <c r="E11" s="1" t="s">
        <v>10</v>
      </c>
      <c r="F11" s="1"/>
      <c r="G11">
        <v>5</v>
      </c>
      <c r="H11" s="1" t="s">
        <v>28</v>
      </c>
      <c r="I11" s="1" t="s">
        <v>16</v>
      </c>
      <c r="J11" s="1" t="s">
        <v>17</v>
      </c>
      <c r="K11">
        <v>5</v>
      </c>
      <c r="L11" s="1" t="s">
        <v>30</v>
      </c>
    </row>
    <row r="12" spans="1:12" x14ac:dyDescent="0.3">
      <c r="C12" s="2"/>
      <c r="D12" s="3">
        <f>AVERAGE(D2:D11)</f>
        <v>1.1736111104255543E-3</v>
      </c>
      <c r="E12" s="1"/>
      <c r="F12" s="1"/>
      <c r="H12" s="1"/>
      <c r="I12" s="1"/>
      <c r="J12" s="1"/>
      <c r="L12" s="1"/>
    </row>
    <row r="13" spans="1:12" x14ac:dyDescent="0.3">
      <c r="H13">
        <f xml:space="preserve"> COUNTIF(H2:H11, "Iced Coffee")</f>
        <v>4</v>
      </c>
      <c r="I13">
        <f>COUNTIF(I2:I11, "Daily")</f>
        <v>2</v>
      </c>
      <c r="J13">
        <f>COUNTIF(J2:J11,"Free drink after 6 purchases")</f>
        <v>4</v>
      </c>
    </row>
    <row r="15" spans="1:12" x14ac:dyDescent="0.3">
      <c r="C15">
        <f>COUNTIF(H2:H11, "Iced Coffee")</f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18AD-0E14-404A-8C61-258BBF935496}">
  <dimension ref="A1:B20"/>
  <sheetViews>
    <sheetView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3.44140625" bestFit="1" customWidth="1"/>
  </cols>
  <sheetData>
    <row r="1" spans="1:2" x14ac:dyDescent="0.3">
      <c r="A1" s="4" t="s">
        <v>33</v>
      </c>
      <c r="B1" t="s">
        <v>35</v>
      </c>
    </row>
    <row r="2" spans="1:2" x14ac:dyDescent="0.3">
      <c r="A2" s="5" t="s">
        <v>28</v>
      </c>
      <c r="B2">
        <v>2</v>
      </c>
    </row>
    <row r="3" spans="1:2" x14ac:dyDescent="0.3">
      <c r="A3" s="5" t="s">
        <v>26</v>
      </c>
      <c r="B3">
        <v>1</v>
      </c>
    </row>
    <row r="4" spans="1:2" x14ac:dyDescent="0.3">
      <c r="A4" s="5" t="s">
        <v>15</v>
      </c>
      <c r="B4">
        <v>4</v>
      </c>
    </row>
    <row r="5" spans="1:2" x14ac:dyDescent="0.3">
      <c r="A5" s="5" t="s">
        <v>11</v>
      </c>
      <c r="B5">
        <v>3</v>
      </c>
    </row>
    <row r="6" spans="1:2" x14ac:dyDescent="0.3">
      <c r="A6" s="5" t="s">
        <v>34</v>
      </c>
      <c r="B6">
        <v>10</v>
      </c>
    </row>
    <row r="16" spans="1:2" x14ac:dyDescent="0.3">
      <c r="A16" s="4" t="s">
        <v>33</v>
      </c>
      <c r="B16" t="s">
        <v>35</v>
      </c>
    </row>
    <row r="17" spans="1:2" x14ac:dyDescent="0.3">
      <c r="A17" s="5" t="s">
        <v>16</v>
      </c>
      <c r="B17">
        <v>4</v>
      </c>
    </row>
    <row r="18" spans="1:2" x14ac:dyDescent="0.3">
      <c r="A18" s="5" t="s">
        <v>20</v>
      </c>
      <c r="B18">
        <v>2</v>
      </c>
    </row>
    <row r="19" spans="1:2" x14ac:dyDescent="0.3">
      <c r="A19" s="5" t="s">
        <v>12</v>
      </c>
      <c r="B19">
        <v>4</v>
      </c>
    </row>
    <row r="20" spans="1:2" x14ac:dyDescent="0.3">
      <c r="A20" s="5" t="s">
        <v>34</v>
      </c>
      <c r="B20">
        <v>10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 merawi</dc:creator>
  <cp:keywords/>
  <dc:description/>
  <cp:lastModifiedBy>hana merawi</cp:lastModifiedBy>
  <cp:revision/>
  <dcterms:created xsi:type="dcterms:W3CDTF">2026-04-09T16:45:37Z</dcterms:created>
  <dcterms:modified xsi:type="dcterms:W3CDTF">2026-04-10T16:46:10Z</dcterms:modified>
  <cp:category/>
  <cp:contentStatus/>
</cp:coreProperties>
</file>