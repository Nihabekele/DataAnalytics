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hmerawi_my_yearupunited_org/Documents/Desktop/Documents/DataAnalytics/week-01/"/>
    </mc:Choice>
  </mc:AlternateContent>
  <xr:revisionPtr revIDLastSave="69" documentId="8_{4FD534FA-59DE-4E5C-92F3-D73E7522965F}" xr6:coauthVersionLast="47" xr6:coauthVersionMax="47" xr10:uidLastSave="{B38A6ACF-3CD6-4CDD-B0D8-DC85E3B3DAA7}"/>
  <bookViews>
    <workbookView xWindow="-108" yWindow="-108" windowWidth="23256" windowHeight="13896" activeTab="2" xr2:uid="{03979567-2E68-4798-874F-5E38BA159E81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11" i="3"/>
  <c r="C5" i="3"/>
  <c r="C8" i="3"/>
  <c r="C10" i="3"/>
  <c r="C3" i="3"/>
  <c r="C4" i="3"/>
  <c r="C6" i="3"/>
  <c r="C7" i="3"/>
  <c r="C9" i="3"/>
  <c r="C2" i="3"/>
  <c r="G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<sst xmlns="http://schemas.openxmlformats.org/spreadsheetml/2006/main" count="154" uniqueCount="68">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</sst>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0.69</c:v>
                </c:pt>
                <c:pt idx="2">
                  <c:v>0.66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0.68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E-478F-9F41-8044BDF49BE0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0.19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1E-478F-9F41-8044BDF49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605183"/>
        <c:axId val="403605663"/>
      </c:barChart>
      <c:catAx>
        <c:axId val="40360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605663"/>
        <c:crosses val="autoZero"/>
        <c:auto val="1"/>
        <c:lblAlgn val="ctr"/>
        <c:lblOffset val="100"/>
        <c:noMultiLvlLbl val="0"/>
      </c:catAx>
      <c:valAx>
        <c:axId val="40360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60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8</xdr:row>
      <xdr:rowOff>133350</xdr:rowOff>
    </xdr:from>
    <xdr:to>
      <xdr:col>14</xdr:col>
      <xdr:colOff>68580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F3C9B7-2695-B653-C67D-A1123AEFC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a merawi" refreshedDate="46121.083519097221" createdVersion="8" refreshedVersion="8" minRefreshableVersion="3" recordCount="10" xr:uid="{3B8B698B-95D1-4C92-AA24-16D726253830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8"/>
    <n v="0.18"/>
  </r>
  <r>
    <x v="2"/>
    <x v="0"/>
    <n v="0.67"/>
    <n v="0.19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8"/>
  </r>
  <r>
    <x v="7"/>
    <x v="1"/>
    <n v="0.66"/>
    <n v="0.2"/>
  </r>
  <r>
    <x v="8"/>
    <x v="1"/>
    <n v="0.66"/>
    <n v="0.2"/>
  </r>
  <r>
    <x v="9"/>
    <x v="1"/>
    <n v="0.69"/>
    <n v="0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FA70E-6316-4E22-A6FC-24BA472AC4D5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D24C-89E2-46EF-98AF-AC6AA8C769DD}">
  <dimension ref="A1:J52"/>
  <sheetViews>
    <sheetView workbookViewId="0">
      <pane ySplit="1" topLeftCell="A24" activePane="bottomLeft" state="frozen"/>
      <selection pane="bottomLeft" activeCell="J47" sqref="J47"/>
    </sheetView>
  </sheetViews>
  <sheetFormatPr defaultRowHeight="14.4" x14ac:dyDescent="0.3"/>
  <cols>
    <col min="2" max="2" width="21.109375" customWidth="1"/>
    <col min="3" max="3" width="13.88671875" customWidth="1"/>
    <col min="4" max="4" width="13.5546875" customWidth="1"/>
    <col min="5" max="5" width="11.44140625" customWidth="1"/>
    <col min="6" max="6" width="11" customWidth="1"/>
    <col min="9" max="9" width="10.6640625" customWidth="1"/>
    <col min="10" max="10" width="15.33203125" customWidth="1"/>
  </cols>
  <sheetData>
    <row r="1" spans="1:10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F1" s="2" t="s">
        <v>52</v>
      </c>
      <c r="G1" s="2">
        <f>COUNTA(B2:B52)</f>
        <v>51</v>
      </c>
      <c r="I1" s="3" t="s">
        <v>54</v>
      </c>
      <c r="J1" s="3" t="s">
        <v>55</v>
      </c>
    </row>
    <row r="2" spans="1:10" x14ac:dyDescent="0.3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0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0" x14ac:dyDescent="0.3">
      <c r="A4">
        <v>3</v>
      </c>
      <c r="B4" t="s">
        <v>27</v>
      </c>
      <c r="C4" s="1">
        <v>0.69</v>
      </c>
      <c r="D4" s="1">
        <v>0.19</v>
      </c>
      <c r="E4" s="1">
        <v>0.12</v>
      </c>
    </row>
    <row r="5" spans="1:10" x14ac:dyDescent="0.3">
      <c r="A5">
        <v>4</v>
      </c>
      <c r="B5" t="s">
        <v>10</v>
      </c>
      <c r="C5" s="1">
        <v>0.64</v>
      </c>
      <c r="D5" s="1">
        <v>0.23</v>
      </c>
      <c r="E5" s="1">
        <v>0.13</v>
      </c>
    </row>
    <row r="6" spans="1:10" x14ac:dyDescent="0.3">
      <c r="A6">
        <v>5</v>
      </c>
      <c r="B6" t="s">
        <v>37</v>
      </c>
      <c r="C6" s="1">
        <v>0.66</v>
      </c>
      <c r="D6" s="1">
        <v>0.19</v>
      </c>
      <c r="E6" s="1">
        <v>0.15</v>
      </c>
    </row>
    <row r="7" spans="1:10" x14ac:dyDescent="0.3">
      <c r="A7">
        <v>6</v>
      </c>
      <c r="B7" t="s">
        <v>40</v>
      </c>
      <c r="C7" s="1">
        <v>0.67</v>
      </c>
      <c r="D7" s="1">
        <v>0.18</v>
      </c>
      <c r="E7" s="1">
        <v>0.15</v>
      </c>
    </row>
    <row r="8" spans="1:10" x14ac:dyDescent="0.3">
      <c r="A8">
        <v>7</v>
      </c>
      <c r="B8" t="s">
        <v>18</v>
      </c>
      <c r="C8" s="1">
        <v>0.63</v>
      </c>
      <c r="D8" s="1">
        <v>0.22</v>
      </c>
      <c r="E8" s="1">
        <v>0.15</v>
      </c>
    </row>
    <row r="9" spans="1:10" x14ac:dyDescent="0.3">
      <c r="A9">
        <v>8</v>
      </c>
      <c r="B9" t="s">
        <v>12</v>
      </c>
      <c r="C9" s="1">
        <v>0.64</v>
      </c>
      <c r="D9" s="1">
        <v>0.23</v>
      </c>
      <c r="E9" s="1">
        <v>0.13</v>
      </c>
    </row>
    <row r="10" spans="1:10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0" x14ac:dyDescent="0.3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0" x14ac:dyDescent="0.3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0" x14ac:dyDescent="0.3">
      <c r="A13">
        <v>12</v>
      </c>
      <c r="B13" t="s">
        <v>46</v>
      </c>
      <c r="C13" s="1">
        <v>0.72</v>
      </c>
      <c r="D13" s="1">
        <v>0.15</v>
      </c>
      <c r="E13" s="1">
        <v>0.13</v>
      </c>
    </row>
    <row r="14" spans="1:10" x14ac:dyDescent="0.3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0" x14ac:dyDescent="0.3">
      <c r="A15">
        <v>14</v>
      </c>
      <c r="B15" t="s">
        <v>2</v>
      </c>
      <c r="C15" s="1">
        <v>0.61</v>
      </c>
      <c r="D15" s="1">
        <v>0.25</v>
      </c>
      <c r="E15" s="1">
        <v>0.14000000000000001</v>
      </c>
    </row>
    <row r="16" spans="1:10" x14ac:dyDescent="0.3">
      <c r="A16">
        <v>15</v>
      </c>
      <c r="B16" t="s">
        <v>7</v>
      </c>
      <c r="C16" s="1">
        <v>0.64</v>
      </c>
      <c r="D16" s="1">
        <v>0.23</v>
      </c>
      <c r="E16" s="1">
        <v>0.13</v>
      </c>
    </row>
    <row r="17" spans="1:5" x14ac:dyDescent="0.3">
      <c r="A17">
        <v>16</v>
      </c>
      <c r="B17" t="s">
        <v>38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26</v>
      </c>
      <c r="C18" s="1">
        <v>0.7</v>
      </c>
      <c r="D18" s="1">
        <v>0.18</v>
      </c>
      <c r="E18" s="1">
        <v>0.12</v>
      </c>
    </row>
    <row r="19" spans="1:5" x14ac:dyDescent="0.3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33</v>
      </c>
      <c r="C20" s="1">
        <v>0.66</v>
      </c>
      <c r="D20" s="1">
        <v>0.19</v>
      </c>
      <c r="E20" s="1">
        <v>0.15</v>
      </c>
    </row>
    <row r="21" spans="1:5" x14ac:dyDescent="0.3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21</v>
      </c>
      <c r="C22" s="1">
        <v>0.6</v>
      </c>
      <c r="D22" s="1">
        <v>0.25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24</v>
      </c>
      <c r="C24" s="1">
        <v>0.69</v>
      </c>
      <c r="D24" s="1">
        <v>0.19</v>
      </c>
      <c r="E24" s="1">
        <v>0.12</v>
      </c>
    </row>
    <row r="25" spans="1:5" x14ac:dyDescent="0.3">
      <c r="A25">
        <v>24</v>
      </c>
      <c r="B25" t="s">
        <v>25</v>
      </c>
      <c r="C25" s="1">
        <v>0.66</v>
      </c>
      <c r="D25" s="1">
        <v>0.2</v>
      </c>
      <c r="E25" s="1">
        <v>0.14000000000000001</v>
      </c>
    </row>
    <row r="26" spans="1:5" x14ac:dyDescent="0.3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22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19</v>
      </c>
      <c r="C30" s="1">
        <v>0.68</v>
      </c>
      <c r="D30" s="1">
        <v>0.2</v>
      </c>
      <c r="E30" s="1">
        <v>0.12</v>
      </c>
    </row>
    <row r="31" spans="1:5" x14ac:dyDescent="0.3">
      <c r="A31">
        <v>30</v>
      </c>
      <c r="B31" t="s">
        <v>31</v>
      </c>
      <c r="C31" s="1">
        <v>0.64</v>
      </c>
      <c r="D31" s="1">
        <v>0.22</v>
      </c>
      <c r="E31" s="1">
        <v>0.14000000000000001</v>
      </c>
    </row>
    <row r="32" spans="1:5" x14ac:dyDescent="0.3">
      <c r="A32">
        <v>31</v>
      </c>
      <c r="B32" t="s">
        <v>17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43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39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3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13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34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16</v>
      </c>
      <c r="C40" s="1">
        <v>0.61</v>
      </c>
      <c r="D40" s="1">
        <v>0.23</v>
      </c>
      <c r="E40" s="1">
        <v>0.16</v>
      </c>
    </row>
    <row r="41" spans="1:5" x14ac:dyDescent="0.3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29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8</v>
      </c>
      <c r="C46" s="1">
        <v>0.67</v>
      </c>
      <c r="D46" s="1">
        <v>0.21</v>
      </c>
      <c r="E46" s="1">
        <v>0.12</v>
      </c>
    </row>
    <row r="47" spans="1:5" x14ac:dyDescent="0.3">
      <c r="A47">
        <v>46</v>
      </c>
      <c r="B47" t="s">
        <v>48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20</v>
      </c>
      <c r="C48" s="1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8489D24C-89E2-46EF-98AF-AC6AA8C769D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0498-43FA-433B-BFA8-A79782B1A11A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2" sqref="E32"/>
    </sheetView>
  </sheetViews>
  <sheetFormatPr defaultRowHeight="14.4" x14ac:dyDescent="0.3"/>
  <cols>
    <col min="10" max="10" width="10.77734375" customWidth="1"/>
  </cols>
  <sheetData>
    <row r="1" spans="1:52" x14ac:dyDescent="0.3">
      <c r="A1" t="s">
        <v>0</v>
      </c>
      <c r="B1" t="s">
        <v>5</v>
      </c>
      <c r="C1" t="s">
        <v>50</v>
      </c>
      <c r="D1" t="s">
        <v>27</v>
      </c>
      <c r="E1" t="s">
        <v>10</v>
      </c>
      <c r="F1" t="s">
        <v>37</v>
      </c>
      <c r="G1" t="s">
        <v>40</v>
      </c>
      <c r="H1" t="s">
        <v>18</v>
      </c>
      <c r="I1" t="s">
        <v>12</v>
      </c>
      <c r="J1" t="s">
        <v>51</v>
      </c>
      <c r="K1" t="s">
        <v>23</v>
      </c>
      <c r="L1" t="s">
        <v>9</v>
      </c>
      <c r="M1" t="s">
        <v>46</v>
      </c>
      <c r="N1" t="s">
        <v>30</v>
      </c>
      <c r="O1" t="s">
        <v>2</v>
      </c>
      <c r="P1" t="s">
        <v>7</v>
      </c>
      <c r="Q1" t="s">
        <v>38</v>
      </c>
      <c r="R1" t="s">
        <v>26</v>
      </c>
      <c r="S1" t="s">
        <v>6</v>
      </c>
      <c r="T1" t="s">
        <v>33</v>
      </c>
      <c r="U1" t="s">
        <v>47</v>
      </c>
      <c r="V1" t="s">
        <v>21</v>
      </c>
      <c r="W1" t="s">
        <v>42</v>
      </c>
      <c r="X1" t="s">
        <v>24</v>
      </c>
      <c r="Y1" t="s">
        <v>25</v>
      </c>
      <c r="Z1" t="s">
        <v>28</v>
      </c>
      <c r="AA1" t="s">
        <v>22</v>
      </c>
      <c r="AB1" t="s">
        <v>49</v>
      </c>
      <c r="AC1" t="s">
        <v>36</v>
      </c>
      <c r="AD1" t="s">
        <v>19</v>
      </c>
      <c r="AE1" t="s">
        <v>31</v>
      </c>
      <c r="AF1" t="s">
        <v>17</v>
      </c>
      <c r="AG1" t="s">
        <v>43</v>
      </c>
      <c r="AH1" t="s">
        <v>39</v>
      </c>
      <c r="AI1" t="s">
        <v>3</v>
      </c>
      <c r="AJ1" t="s">
        <v>35</v>
      </c>
      <c r="AK1" t="s">
        <v>13</v>
      </c>
      <c r="AL1" t="s">
        <v>11</v>
      </c>
      <c r="AM1" t="s">
        <v>34</v>
      </c>
      <c r="AN1" t="s">
        <v>16</v>
      </c>
      <c r="AO1" t="s">
        <v>15</v>
      </c>
      <c r="AP1" t="s">
        <v>1</v>
      </c>
      <c r="AQ1" t="s">
        <v>44</v>
      </c>
      <c r="AR1" t="s">
        <v>4</v>
      </c>
      <c r="AS1" t="s">
        <v>29</v>
      </c>
      <c r="AT1" t="s">
        <v>8</v>
      </c>
      <c r="AU1" t="s">
        <v>48</v>
      </c>
      <c r="AV1" t="s">
        <v>20</v>
      </c>
      <c r="AW1" t="s">
        <v>41</v>
      </c>
      <c r="AX1" t="s">
        <v>14</v>
      </c>
      <c r="AY1" t="s">
        <v>32</v>
      </c>
      <c r="AZ1" t="s">
        <v>45</v>
      </c>
    </row>
    <row r="2" spans="1:52" x14ac:dyDescent="0.3">
      <c r="A2" t="s">
        <v>56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3">
      <c r="A3" t="s">
        <v>57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3">
      <c r="A4" t="s">
        <v>58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9C00-6C3D-4E0C-8C1F-F541225F5263}">
  <dimension ref="A1:D26"/>
  <sheetViews>
    <sheetView tabSelected="1" workbookViewId="0">
      <selection activeCell="P27" sqref="P27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  <col min="4" max="4" width="9.6640625" customWidth="1"/>
  </cols>
  <sheetData>
    <row r="1" spans="1:4" x14ac:dyDescent="0.3">
      <c r="A1" t="s">
        <v>59</v>
      </c>
      <c r="B1" t="s">
        <v>60</v>
      </c>
      <c r="C1" t="s">
        <v>56</v>
      </c>
      <c r="D1" t="s">
        <v>57</v>
      </c>
    </row>
    <row r="2" spans="1:4" x14ac:dyDescent="0.3">
      <c r="A2" t="s">
        <v>41</v>
      </c>
      <c r="B2" t="s">
        <v>61</v>
      </c>
      <c r="C2" s="4">
        <f>VLOOKUP('sales region lookup'!A2, 'by search term'!B:C, 2, FALSE)</f>
        <v>0.68</v>
      </c>
      <c r="D2" s="4">
        <f>_xlfn.XLOOKUP(A2, 'by search term'!B1:B52, 'by search term'!D1:D52, "not found")</f>
        <v>0.18</v>
      </c>
    </row>
    <row r="3" spans="1:4" x14ac:dyDescent="0.3">
      <c r="A3" t="s">
        <v>34</v>
      </c>
      <c r="B3" t="s">
        <v>61</v>
      </c>
      <c r="C3" s="4">
        <f>VLOOKUP('sales region lookup'!A3, 'by search term'!B:C, 2, FALSE)</f>
        <v>0.68</v>
      </c>
      <c r="D3" s="4">
        <f>_xlfn.XLOOKUP(A3, 'by search term'!B2:B53, 'by search term'!D2:D53, "not found")</f>
        <v>0.18</v>
      </c>
    </row>
    <row r="4" spans="1:4" x14ac:dyDescent="0.3">
      <c r="A4" t="s">
        <v>30</v>
      </c>
      <c r="B4" t="s">
        <v>61</v>
      </c>
      <c r="C4" s="4">
        <f>VLOOKUP('sales region lookup'!A4, 'by search term'!B:C, 2, FALSE)</f>
        <v>0.67</v>
      </c>
      <c r="D4" s="4">
        <f>_xlfn.XLOOKUP(A4, 'by search term'!B3:B54, 'by search term'!D3:D54, "not found")</f>
        <v>0.19</v>
      </c>
    </row>
    <row r="5" spans="1:4" x14ac:dyDescent="0.3">
      <c r="A5" t="s">
        <v>49</v>
      </c>
      <c r="B5" t="s">
        <v>61</v>
      </c>
      <c r="C5" s="4">
        <f>VLOOKUP('sales region lookup'!A5, 'by search term'!B:C, 2, FALSE)</f>
        <v>0.75</v>
      </c>
      <c r="D5" s="4">
        <f>_xlfn.XLOOKUP(A5, 'by search term'!B4:B55, 'by search term'!D4:D55, "not found")</f>
        <v>0.14000000000000001</v>
      </c>
    </row>
    <row r="6" spans="1:4" x14ac:dyDescent="0.3">
      <c r="A6" t="s">
        <v>35</v>
      </c>
      <c r="B6" t="s">
        <v>62</v>
      </c>
      <c r="C6" s="4">
        <f>VLOOKUP('sales region lookup'!A6, 'by search term'!B:C, 2, FALSE)</f>
        <v>0.69</v>
      </c>
      <c r="D6" s="4">
        <f>_xlfn.XLOOKUP(A6, 'by search term'!B5:B56, 'by search term'!D5:D56, "not found")</f>
        <v>0.19</v>
      </c>
    </row>
    <row r="7" spans="1:4" x14ac:dyDescent="0.3">
      <c r="A7" t="s">
        <v>44</v>
      </c>
      <c r="B7" t="s">
        <v>62</v>
      </c>
      <c r="C7" s="4">
        <f>VLOOKUP('sales region lookup'!A7, 'by search term'!B:C, 2, FALSE)</f>
        <v>0.75</v>
      </c>
      <c r="D7" s="4">
        <f>_xlfn.XLOOKUP(A7, 'by search term'!B6:B57, 'by search term'!D6:D57, "not found")</f>
        <v>0.14000000000000001</v>
      </c>
    </row>
    <row r="8" spans="1:4" x14ac:dyDescent="0.3">
      <c r="A8" t="s">
        <v>36</v>
      </c>
      <c r="B8" t="s">
        <v>62</v>
      </c>
      <c r="C8" s="4">
        <f>VLOOKUP('sales region lookup'!A8, 'by search term'!B:C, 2, FALSE)</f>
        <v>0.69</v>
      </c>
      <c r="D8" s="4">
        <f>_xlfn.XLOOKUP(A8, 'by search term'!B7:B58, 'by search term'!D7:D58, "not found")</f>
        <v>0.18</v>
      </c>
    </row>
    <row r="9" spans="1:4" x14ac:dyDescent="0.3">
      <c r="A9" t="s">
        <v>25</v>
      </c>
      <c r="B9" t="s">
        <v>62</v>
      </c>
      <c r="C9" s="4">
        <f>VLOOKUP('sales region lookup'!A9, 'by search term'!B:C, 2, FALSE)</f>
        <v>0.66</v>
      </c>
      <c r="D9" s="4">
        <f>_xlfn.XLOOKUP(A9, 'by search term'!B8:B59, 'by search term'!D8:D59, "not found")</f>
        <v>0.2</v>
      </c>
    </row>
    <row r="10" spans="1:4" x14ac:dyDescent="0.3">
      <c r="A10" t="s">
        <v>32</v>
      </c>
      <c r="B10" t="s">
        <v>62</v>
      </c>
      <c r="C10" s="4">
        <f>VLOOKUP('sales region lookup'!A10, 'by search term'!B:C, 2, FALSE)</f>
        <v>0.66</v>
      </c>
      <c r="D10" s="4">
        <f>_xlfn.XLOOKUP(A10, 'by search term'!B9:B60, 'by search term'!D9:D60, "not found")</f>
        <v>0.2</v>
      </c>
    </row>
    <row r="11" spans="1:4" x14ac:dyDescent="0.3">
      <c r="A11" t="s">
        <v>24</v>
      </c>
      <c r="B11" t="s">
        <v>62</v>
      </c>
      <c r="C11" s="4">
        <f>VLOOKUP('sales region lookup'!A11, 'by search term'!B:C, 2, FALSE)</f>
        <v>0.69</v>
      </c>
      <c r="D11" s="4">
        <f>_xlfn.XLOOKUP(A11, 'by search term'!B10:B61, 'by search term'!D10:D61, "not found")</f>
        <v>0.19</v>
      </c>
    </row>
    <row r="13" spans="1:4" x14ac:dyDescent="0.3">
      <c r="A13" s="5" t="s">
        <v>60</v>
      </c>
      <c r="B13" t="s">
        <v>67</v>
      </c>
    </row>
    <row r="15" spans="1:4" x14ac:dyDescent="0.3">
      <c r="A15" s="5" t="s">
        <v>63</v>
      </c>
      <c r="B15" t="s">
        <v>65</v>
      </c>
      <c r="C15" t="s">
        <v>66</v>
      </c>
    </row>
    <row r="16" spans="1:4" x14ac:dyDescent="0.3">
      <c r="A16" s="6" t="s">
        <v>30</v>
      </c>
      <c r="B16" s="1">
        <v>0.67</v>
      </c>
      <c r="C16" s="1">
        <v>0.19</v>
      </c>
    </row>
    <row r="17" spans="1:3" x14ac:dyDescent="0.3">
      <c r="A17" s="6" t="s">
        <v>24</v>
      </c>
      <c r="B17" s="1">
        <v>0.69</v>
      </c>
      <c r="C17" s="1">
        <v>0.19</v>
      </c>
    </row>
    <row r="18" spans="1:3" x14ac:dyDescent="0.3">
      <c r="A18" s="6" t="s">
        <v>25</v>
      </c>
      <c r="B18" s="1">
        <v>0.66</v>
      </c>
      <c r="C18" s="1">
        <v>0.2</v>
      </c>
    </row>
    <row r="19" spans="1:3" x14ac:dyDescent="0.3">
      <c r="A19" s="6" t="s">
        <v>49</v>
      </c>
      <c r="B19" s="1">
        <v>0.75</v>
      </c>
      <c r="C19" s="1">
        <v>0.14000000000000001</v>
      </c>
    </row>
    <row r="20" spans="1:3" x14ac:dyDescent="0.3">
      <c r="A20" s="6" t="s">
        <v>36</v>
      </c>
      <c r="B20" s="1">
        <v>0.69</v>
      </c>
      <c r="C20" s="1">
        <v>0.18</v>
      </c>
    </row>
    <row r="21" spans="1:3" x14ac:dyDescent="0.3">
      <c r="A21" s="6" t="s">
        <v>35</v>
      </c>
      <c r="B21" s="1">
        <v>0.69</v>
      </c>
      <c r="C21" s="1">
        <v>0.19</v>
      </c>
    </row>
    <row r="22" spans="1:3" x14ac:dyDescent="0.3">
      <c r="A22" s="6" t="s">
        <v>34</v>
      </c>
      <c r="B22" s="1">
        <v>0.68</v>
      </c>
      <c r="C22" s="1">
        <v>0.18</v>
      </c>
    </row>
    <row r="23" spans="1:3" x14ac:dyDescent="0.3">
      <c r="A23" s="6" t="s">
        <v>44</v>
      </c>
      <c r="B23" s="1">
        <v>0.75</v>
      </c>
      <c r="C23" s="1">
        <v>0.14000000000000001</v>
      </c>
    </row>
    <row r="24" spans="1:3" x14ac:dyDescent="0.3">
      <c r="A24" s="6" t="s">
        <v>41</v>
      </c>
      <c r="B24" s="1">
        <v>0.68</v>
      </c>
      <c r="C24" s="1">
        <v>0.18</v>
      </c>
    </row>
    <row r="25" spans="1:3" x14ac:dyDescent="0.3">
      <c r="A25" s="6" t="s">
        <v>32</v>
      </c>
      <c r="B25" s="1">
        <v>0.66</v>
      </c>
      <c r="C25" s="1">
        <v>0.2</v>
      </c>
    </row>
    <row r="26" spans="1:3" x14ac:dyDescent="0.3">
      <c r="A26" s="6" t="s">
        <v>64</v>
      </c>
      <c r="B26" s="1">
        <v>6.92</v>
      </c>
      <c r="C26" s="1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merawi</dc:creator>
  <cp:lastModifiedBy>hana merawi</cp:lastModifiedBy>
  <dcterms:created xsi:type="dcterms:W3CDTF">2026-04-08T18:28:02Z</dcterms:created>
  <dcterms:modified xsi:type="dcterms:W3CDTF">2026-04-09T06:12:17Z</dcterms:modified>
</cp:coreProperties>
</file>